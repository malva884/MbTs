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LADMINLOCAL\Downloads\"/>
    </mc:Choice>
  </mc:AlternateContent>
  <xr:revisionPtr revIDLastSave="0" documentId="13_ncr:1_{77D25CC2-DC91-4376-8178-81F9EB1FBCF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oglio1" sheetId="1" r:id="rId1"/>
    <sheet name="Foglio2" sheetId="2" r:id="rId2"/>
    <sheet name="Foglio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H41" i="1" l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I7" i="1" s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H6" i="1"/>
  <c r="I6" i="1" s="1"/>
  <c r="K44" i="1" l="1"/>
  <c r="H46" i="1"/>
  <c r="H45" i="1"/>
  <c r="H44" i="1"/>
  <c r="H43" i="1"/>
</calcChain>
</file>

<file path=xl/sharedStrings.xml><?xml version="1.0" encoding="utf-8"?>
<sst xmlns="http://schemas.openxmlformats.org/spreadsheetml/2006/main" count="62" uniqueCount="57">
  <si>
    <t>CLIENTE</t>
  </si>
  <si>
    <t>Firma U.T.</t>
  </si>
  <si>
    <t>NORME DI RIFERIMENTO</t>
  </si>
  <si>
    <t>DEL</t>
  </si>
  <si>
    <t>RDO N°</t>
  </si>
  <si>
    <t>Param. e firma D.S.</t>
  </si>
  <si>
    <t>Base Cu Euro</t>
  </si>
  <si>
    <t>CODICE</t>
  </si>
  <si>
    <t>COSTO</t>
  </si>
  <si>
    <t>Var.</t>
  </si>
  <si>
    <t>Parametro</t>
  </si>
  <si>
    <t>Totale</t>
  </si>
  <si>
    <t>Codice cavo</t>
  </si>
  <si>
    <t>Nome</t>
  </si>
  <si>
    <t>Numero</t>
  </si>
  <si>
    <t>Diametro</t>
  </si>
  <si>
    <t>Peso</t>
  </si>
  <si>
    <t>Pos.</t>
  </si>
  <si>
    <t>METRI</t>
  </si>
  <si>
    <t>M.B.</t>
  </si>
  <si>
    <t>Rame</t>
  </si>
  <si>
    <t>posizione</t>
  </si>
  <si>
    <t>specifica cliente</t>
  </si>
  <si>
    <t>File</t>
  </si>
  <si>
    <t>bobine</t>
  </si>
  <si>
    <t>Netto</t>
  </si>
  <si>
    <t>Lordo</t>
  </si>
  <si>
    <t>Volume</t>
  </si>
  <si>
    <t>Costo</t>
  </si>
  <si>
    <t>Resa</t>
  </si>
  <si>
    <t>DATI IMBALLO</t>
  </si>
  <si>
    <t>Lordo Kg</t>
  </si>
  <si>
    <t>CONDIZIONI DI PAGAMENTO:</t>
  </si>
  <si>
    <t>Totale Offerta Euro</t>
  </si>
  <si>
    <t>Consegna</t>
  </si>
  <si>
    <t>Costo Euro</t>
  </si>
  <si>
    <t>Imballo</t>
  </si>
  <si>
    <t>Tolleranze</t>
  </si>
  <si>
    <t>ALTRE NOTE:</t>
  </si>
  <si>
    <t>N° ordine</t>
  </si>
  <si>
    <t>N° Vs. ordine</t>
  </si>
  <si>
    <t>Cod. Cliente</t>
  </si>
  <si>
    <t>Data Vs. ordine</t>
  </si>
  <si>
    <t>Cod. documento</t>
  </si>
  <si>
    <t>Sconto</t>
  </si>
  <si>
    <t>DESCRIZIONE</t>
  </si>
  <si>
    <t>NOTE</t>
  </si>
  <si>
    <t>D. Ext.</t>
  </si>
  <si>
    <t>Max.</t>
  </si>
  <si>
    <t>Kg/km</t>
  </si>
  <si>
    <t>Netto Kg</t>
  </si>
  <si>
    <t>Volume mc</t>
  </si>
  <si>
    <t xml:space="preserve">PREVENTIVO N° </t>
  </si>
  <si>
    <t>3CQ-009 I01</t>
  </si>
  <si>
    <t>3CQ-013</t>
  </si>
  <si>
    <t>Valutazione Ecodesign  packeging</t>
  </si>
  <si>
    <t>sostenibili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</si>
</sst>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-* #,##0_-;\-* #,##0_-;_-* &quot;-&quot;??_-;_-@_-"/>
    <numFmt numFmtId="166" formatCode="_-* #,##0.0000_-;\-* #,##0.0000_-;_-* &quot;-&quot;??_-;_-@_-"/>
  </numFmts>
  <fonts count="10">
    <font>
      <sz val="11"/>
      <color theme="1"/>
      <name val="Calibri"/>
      <family val="2"/>
      <scheme val="minor"/>
    </font>
    <font>
      <sz val="10"/>
      <color rgb="FF000000"/>
      <name val="Arial MT"/>
    </font>
    <font>
      <b/>
      <sz val="10"/>
      <color rgb="FF000000"/>
      <name val="Arial MT"/>
    </font>
    <font>
      <b/>
      <sz val="10"/>
      <color rgb="FFFF0000"/>
      <name val="Arial"/>
      <family val="2"/>
    </font>
    <font>
      <sz val="7.5"/>
      <color rgb="FF000000"/>
      <name val="Arial MT"/>
    </font>
    <font>
      <sz val="10"/>
      <color rgb="FF000000"/>
      <name val="Times New Roman"/>
      <family val="1"/>
    </font>
    <font>
      <sz val="10"/>
      <color rgb="FFFF00FF"/>
      <name val="Arial MT"/>
    </font>
    <font>
      <sz val="8"/>
      <color rgb="FF000000"/>
      <name val="Arial MT"/>
    </font>
    <font>
      <sz val="11"/>
      <color theme="1"/>
      <name val="Calibri"/>
      <family val="2"/>
      <scheme val="minor"/>
    </font>
    <font>
      <u val="singleAccounting"/>
      <sz val="10"/>
      <color rgb="FF000000"/>
      <name val="Arial M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26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2" borderId="4" xfId="0" applyFont="1" applyFill="1" applyBorder="1" applyAlignment="1">
      <alignment horizontal="left" vertical="center" wrapText="1"/>
    </xf>
    <xf numFmtId="14" fontId="1" fillId="2" borderId="0" xfId="0" applyNumberFormat="1" applyFont="1" applyFill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164" fontId="1" fillId="2" borderId="0" xfId="0" applyNumberFormat="1" applyFont="1" applyFill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20" xfId="0" applyFont="1" applyFill="1" applyBorder="1" applyAlignment="1">
      <alignment horizontal="left" vertical="center" wrapText="1"/>
    </xf>
    <xf numFmtId="165" fontId="1" fillId="2" borderId="24" xfId="1" applyNumberFormat="1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horizontal="left" vertical="center" wrapText="1"/>
    </xf>
    <xf numFmtId="0" fontId="6" fillId="2" borderId="24" xfId="0" applyFont="1" applyFill="1" applyBorder="1" applyAlignment="1">
      <alignment horizontal="left" vertical="center" wrapText="1"/>
    </xf>
    <xf numFmtId="166" fontId="1" fillId="2" borderId="24" xfId="1" applyNumberFormat="1" applyFont="1" applyFill="1" applyBorder="1" applyAlignment="1">
      <alignment horizontal="left" vertical="center" wrapText="1"/>
    </xf>
    <xf numFmtId="43" fontId="1" fillId="2" borderId="24" xfId="1" applyFont="1" applyFill="1" applyBorder="1" applyAlignment="1">
      <alignment horizontal="left" vertical="center" wrapText="1"/>
    </xf>
    <xf numFmtId="0" fontId="1" fillId="2" borderId="24" xfId="0" applyFont="1" applyFill="1" applyBorder="1" applyAlignment="1">
      <alignment horizontal="left" vertical="center" wrapText="1"/>
    </xf>
    <xf numFmtId="0" fontId="1" fillId="2" borderId="25" xfId="0" applyFont="1" applyFill="1" applyBorder="1" applyAlignment="1">
      <alignment horizontal="left" vertical="center" wrapText="1"/>
    </xf>
    <xf numFmtId="43" fontId="1" fillId="2" borderId="25" xfId="1" applyFont="1" applyFill="1" applyBorder="1" applyAlignment="1">
      <alignment horizontal="left" vertical="center" wrapText="1"/>
    </xf>
    <xf numFmtId="0" fontId="1" fillId="2" borderId="33" xfId="0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left" vertical="center" wrapText="1"/>
    </xf>
    <xf numFmtId="165" fontId="1" fillId="2" borderId="14" xfId="1" applyNumberFormat="1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166" fontId="1" fillId="2" borderId="14" xfId="1" applyNumberFormat="1" applyFont="1" applyFill="1" applyBorder="1" applyAlignment="1">
      <alignment horizontal="left" vertical="center" wrapText="1"/>
    </xf>
    <xf numFmtId="43" fontId="1" fillId="2" borderId="14" xfId="1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left" vertical="center" wrapText="1"/>
    </xf>
    <xf numFmtId="43" fontId="1" fillId="2" borderId="16" xfId="1" applyFont="1" applyFill="1" applyBorder="1" applyAlignment="1">
      <alignment horizontal="left" vertical="center" wrapText="1"/>
    </xf>
    <xf numFmtId="0" fontId="1" fillId="2" borderId="34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horizontal="left" vertical="center" wrapText="1"/>
    </xf>
    <xf numFmtId="165" fontId="1" fillId="2" borderId="28" xfId="1" applyNumberFormat="1" applyFont="1" applyFill="1" applyBorder="1" applyAlignment="1">
      <alignment horizontal="left" vertical="center" wrapText="1"/>
    </xf>
    <xf numFmtId="0" fontId="1" fillId="2" borderId="29" xfId="0" applyFont="1" applyFill="1" applyBorder="1" applyAlignment="1">
      <alignment horizontal="left" vertical="center" wrapText="1"/>
    </xf>
    <xf numFmtId="0" fontId="6" fillId="2" borderId="28" xfId="0" applyFont="1" applyFill="1" applyBorder="1" applyAlignment="1">
      <alignment horizontal="left" vertical="center" wrapText="1"/>
    </xf>
    <xf numFmtId="166" fontId="1" fillId="2" borderId="28" xfId="1" applyNumberFormat="1" applyFont="1" applyFill="1" applyBorder="1" applyAlignment="1">
      <alignment horizontal="left" vertical="center" wrapText="1"/>
    </xf>
    <xf numFmtId="43" fontId="1" fillId="2" borderId="28" xfId="1" applyFont="1" applyFill="1" applyBorder="1" applyAlignment="1">
      <alignment horizontal="left" vertical="center" wrapText="1"/>
    </xf>
    <xf numFmtId="0" fontId="1" fillId="2" borderId="28" xfId="0" applyFont="1" applyFill="1" applyBorder="1" applyAlignment="1">
      <alignment horizontal="left" vertical="center" wrapText="1"/>
    </xf>
    <xf numFmtId="0" fontId="1" fillId="2" borderId="35" xfId="0" applyFont="1" applyFill="1" applyBorder="1" applyAlignment="1">
      <alignment horizontal="left" vertical="center" wrapText="1"/>
    </xf>
    <xf numFmtId="43" fontId="1" fillId="2" borderId="35" xfId="1" applyFont="1" applyFill="1" applyBorder="1" applyAlignment="1">
      <alignment horizontal="left" vertical="center" wrapText="1"/>
    </xf>
    <xf numFmtId="0" fontId="1" fillId="2" borderId="36" xfId="0" applyFont="1" applyFill="1" applyBorder="1" applyAlignment="1">
      <alignment horizontal="left" vertical="center" wrapText="1"/>
    </xf>
    <xf numFmtId="0" fontId="1" fillId="2" borderId="32" xfId="0" applyFont="1" applyFill="1" applyBorder="1" applyAlignment="1">
      <alignment horizontal="left" vertical="center" wrapText="1"/>
    </xf>
    <xf numFmtId="165" fontId="1" fillId="2" borderId="0" xfId="1" applyNumberFormat="1" applyFont="1" applyFill="1" applyBorder="1" applyAlignment="1">
      <alignment horizontal="left" vertical="center" wrapText="1"/>
    </xf>
    <xf numFmtId="165" fontId="1" fillId="2" borderId="5" xfId="1" applyNumberFormat="1" applyFont="1" applyFill="1" applyBorder="1" applyAlignment="1">
      <alignment horizontal="left" vertical="center" wrapText="1"/>
    </xf>
    <xf numFmtId="43" fontId="1" fillId="2" borderId="32" xfId="1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0" fillId="0" borderId="18" xfId="0" applyBorder="1" applyAlignment="1">
      <alignment horizontal="left" vertical="center"/>
    </xf>
    <xf numFmtId="0" fontId="1" fillId="2" borderId="31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left" vertical="center" wrapText="1"/>
    </xf>
    <xf numFmtId="0" fontId="0" fillId="0" borderId="19" xfId="0" applyBorder="1" applyAlignment="1">
      <alignment horizontal="left" vertical="center"/>
    </xf>
    <xf numFmtId="0" fontId="1" fillId="2" borderId="27" xfId="0" applyFont="1" applyFill="1" applyBorder="1" applyAlignment="1">
      <alignment horizontal="left" vertical="center" wrapText="1"/>
    </xf>
    <xf numFmtId="0" fontId="1" fillId="2" borderId="19" xfId="0" applyFont="1" applyFill="1" applyBorder="1" applyAlignment="1">
      <alignment horizontal="left" vertical="center" wrapText="1"/>
    </xf>
    <xf numFmtId="0" fontId="0" fillId="0" borderId="22" xfId="0" applyBorder="1" applyAlignment="1">
      <alignment horizontal="left" vertical="center"/>
    </xf>
    <xf numFmtId="0" fontId="1" fillId="2" borderId="30" xfId="0" applyFont="1" applyFill="1" applyBorder="1" applyAlignment="1">
      <alignment horizontal="left" vertical="center" wrapText="1"/>
    </xf>
    <xf numFmtId="0" fontId="1" fillId="2" borderId="2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165" fontId="1" fillId="2" borderId="25" xfId="1" applyNumberFormat="1" applyFont="1" applyFill="1" applyBorder="1" applyAlignment="1">
      <alignment horizontal="left" vertical="center" wrapText="1"/>
    </xf>
    <xf numFmtId="165" fontId="1" fillId="2" borderId="16" xfId="1" applyNumberFormat="1" applyFont="1" applyFill="1" applyBorder="1" applyAlignment="1">
      <alignment horizontal="left" vertical="center" wrapText="1"/>
    </xf>
    <xf numFmtId="165" fontId="1" fillId="2" borderId="35" xfId="1" applyNumberFormat="1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top" wrapText="1"/>
    </xf>
    <xf numFmtId="165" fontId="1" fillId="2" borderId="37" xfId="1" applyNumberFormat="1" applyFont="1" applyFill="1" applyBorder="1" applyAlignment="1">
      <alignment horizontal="left" vertical="center" wrapText="1"/>
    </xf>
    <xf numFmtId="0" fontId="1" fillId="3" borderId="38" xfId="0" applyFont="1" applyFill="1" applyBorder="1" applyAlignment="1">
      <alignment horizontal="center" vertical="top" wrapText="1"/>
    </xf>
    <xf numFmtId="0" fontId="1" fillId="3" borderId="39" xfId="0" applyFont="1" applyFill="1" applyBorder="1" applyAlignment="1">
      <alignment horizontal="center" vertical="top" wrapText="1"/>
    </xf>
    <xf numFmtId="0" fontId="1" fillId="3" borderId="39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wrapText="1"/>
    </xf>
    <xf numFmtId="0" fontId="7" fillId="3" borderId="12" xfId="0" applyFont="1" applyFill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" fillId="3" borderId="43" xfId="0" applyFont="1" applyFill="1" applyBorder="1" applyAlignment="1">
      <alignment horizontal="center" vertical="center" wrapText="1"/>
    </xf>
    <xf numFmtId="0" fontId="1" fillId="3" borderId="44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 vertical="top" wrapText="1"/>
    </xf>
    <xf numFmtId="0" fontId="1" fillId="3" borderId="46" xfId="0" applyFont="1" applyFill="1" applyBorder="1" applyAlignment="1">
      <alignment horizontal="center" vertical="top" wrapText="1"/>
    </xf>
    <xf numFmtId="0" fontId="0" fillId="0" borderId="45" xfId="0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top" wrapText="1"/>
    </xf>
    <xf numFmtId="0" fontId="0" fillId="0" borderId="49" xfId="0" applyBorder="1" applyAlignment="1">
      <alignment horizontal="center" vertical="top" wrapText="1"/>
    </xf>
    <xf numFmtId="0" fontId="0" fillId="0" borderId="50" xfId="0" applyBorder="1" applyAlignment="1">
      <alignment horizontal="center" vertical="top" wrapText="1"/>
    </xf>
    <xf numFmtId="0" fontId="1" fillId="3" borderId="51" xfId="0" applyFont="1" applyFill="1" applyBorder="1" applyAlignment="1">
      <alignment horizontal="center" vertical="top" wrapText="1"/>
    </xf>
    <xf numFmtId="0" fontId="1" fillId="3" borderId="50" xfId="0" applyFont="1" applyFill="1" applyBorder="1" applyAlignment="1">
      <alignment horizontal="center" vertical="top" wrapText="1"/>
    </xf>
    <xf numFmtId="0" fontId="1" fillId="3" borderId="49" xfId="0" applyFont="1" applyFill="1" applyBorder="1" applyAlignment="1">
      <alignment horizontal="center" vertical="top" wrapText="1"/>
    </xf>
    <xf numFmtId="165" fontId="1" fillId="2" borderId="37" xfId="1" applyNumberFormat="1" applyFont="1" applyFill="1" applyBorder="1" applyAlignment="1">
      <alignment horizontal="center" vertical="center" wrapText="1"/>
    </xf>
    <xf numFmtId="165" fontId="1" fillId="2" borderId="16" xfId="1" applyNumberFormat="1" applyFont="1" applyFill="1" applyBorder="1" applyAlignment="1">
      <alignment horizontal="center" vertical="center" wrapText="1"/>
    </xf>
    <xf numFmtId="165" fontId="9" fillId="2" borderId="16" xfId="1" applyNumberFormat="1" applyFont="1" applyFill="1" applyBorder="1" applyAlignment="1">
      <alignment horizontal="center" vertical="center" wrapText="1"/>
    </xf>
    <xf numFmtId="165" fontId="1" fillId="2" borderId="35" xfId="1" applyNumberFormat="1" applyFont="1" applyFill="1" applyBorder="1" applyAlignment="1">
      <alignment horizontal="center" vertical="center" wrapText="1"/>
    </xf>
    <xf numFmtId="165" fontId="1" fillId="2" borderId="25" xfId="1" applyNumberFormat="1" applyFont="1" applyFill="1" applyBorder="1" applyAlignment="1">
      <alignment horizontal="center" vertical="center" wrapText="1"/>
    </xf>
    <xf numFmtId="0" fontId="7" fillId="3" borderId="46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</cellXfs>
  <cellStyles count="2">
    <cellStyle name="Migliaia" xfId="1" builtinId="3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"/>
  <sheetViews>
    <sheetView tabSelected="1" topLeftCell="D1" workbookViewId="0">
      <selection activeCell="H17" sqref="H17"/>
    </sheetView>
  </sheetViews>
  <sheetFormatPr defaultRowHeight="14.4"/>
  <cols>
    <col min="1" max="1" width="6.33203125" style="11" bestFit="1" customWidth="1"/>
    <col min="2" max="2" width="12" style="11" customWidth="1"/>
    <col min="3" max="3" width="49.88671875" style="11" customWidth="1"/>
    <col min="4" max="4" width="8.77734375" style="11" bestFit="1" customWidth="1"/>
    <col min="5" max="5" width="16.21875" style="11" customWidth="1"/>
    <col min="6" max="6" width="11" style="11" customWidth="1"/>
    <col min="7" max="7" width="7.21875" style="11" bestFit="1" customWidth="1"/>
    <col min="8" max="8" width="9.44140625" style="11" bestFit="1" customWidth="1"/>
    <col min="9" max="9" width="13.77734375" style="11" bestFit="1" customWidth="1"/>
    <col min="10" max="10" width="14.21875" style="11" bestFit="1" customWidth="1"/>
    <col min="11" max="11" width="20.88671875" style="11" customWidth="1"/>
    <col min="12" max="12" width="8.21875" style="11" customWidth="1"/>
    <col min="13" max="13" width="8.109375" style="11" bestFit="1" customWidth="1"/>
    <col min="14" max="14" width="9.33203125" style="11" customWidth="1"/>
    <col min="15" max="15" width="6.44140625" style="11" bestFit="1" customWidth="1"/>
    <col min="16" max="16" width="10.33203125" style="11" customWidth="1"/>
    <col min="17" max="17" width="16" style="11" customWidth="1"/>
    <col min="18" max="18" width="7.33203125" style="11" bestFit="1" customWidth="1"/>
    <col min="19" max="19" width="8.33203125" style="11" bestFit="1" customWidth="1"/>
    <col min="20" max="20" width="5.109375" style="11" bestFit="1" customWidth="1"/>
    <col min="21" max="21" width="5.6640625" style="11" bestFit="1" customWidth="1"/>
    <col min="22" max="22" width="7" style="11" bestFit="1" customWidth="1"/>
    <col min="23" max="23" width="5.6640625" style="11" bestFit="1" customWidth="1"/>
    <col min="24" max="16384" width="8.88671875" style="11"/>
  </cols>
  <sheetData>
    <row r="1" spans="1:23" ht="28.8" customHeight="1" thickBot="1">
      <c r="A1" s="111" t="s">
        <v>52</v>
      </c>
      <c r="B1" s="112"/>
      <c r="C1" s="1"/>
      <c r="D1" s="1" t="s">
        <v>0</v>
      </c>
      <c r="E1" s="74"/>
      <c r="F1" s="3" t="s">
        <v>1</v>
      </c>
      <c r="G1" s="4"/>
      <c r="H1" s="5"/>
      <c r="I1" s="6"/>
      <c r="J1" s="113" t="s">
        <v>2</v>
      </c>
      <c r="K1" s="114"/>
      <c r="L1" s="7"/>
      <c r="M1" s="7"/>
      <c r="N1" s="7"/>
      <c r="O1" s="7"/>
      <c r="P1" s="7"/>
      <c r="Q1" s="8"/>
      <c r="R1" s="9"/>
      <c r="S1" s="10"/>
      <c r="T1" s="10"/>
      <c r="U1" s="10"/>
      <c r="V1" s="10"/>
      <c r="W1" s="2"/>
    </row>
    <row r="2" spans="1:23">
      <c r="A2" s="12" t="s">
        <v>3</v>
      </c>
      <c r="B2" s="13"/>
      <c r="C2" s="12"/>
      <c r="D2" s="12" t="s">
        <v>4</v>
      </c>
      <c r="E2" s="14"/>
      <c r="F2" s="113" t="s">
        <v>5</v>
      </c>
      <c r="G2" s="114"/>
      <c r="H2" s="114"/>
      <c r="I2" s="2"/>
      <c r="J2" s="120"/>
      <c r="K2" s="121"/>
      <c r="L2" s="121"/>
      <c r="M2" s="121"/>
      <c r="N2" s="121"/>
      <c r="O2" s="121"/>
      <c r="P2" s="121"/>
      <c r="Q2" s="122"/>
      <c r="R2" s="15"/>
      <c r="S2" s="16"/>
      <c r="T2" s="16"/>
      <c r="U2" s="16"/>
      <c r="V2" s="16"/>
      <c r="W2" s="14"/>
    </row>
    <row r="3" spans="1:23" ht="21" thickBot="1">
      <c r="A3" s="17" t="s">
        <v>6</v>
      </c>
      <c r="B3" s="18"/>
      <c r="C3" s="12"/>
      <c r="D3" s="12" t="s">
        <v>3</v>
      </c>
      <c r="E3" s="19"/>
      <c r="F3" s="15"/>
      <c r="G3" s="16"/>
      <c r="H3" s="16"/>
      <c r="I3" s="14"/>
      <c r="J3" s="123"/>
      <c r="K3" s="124"/>
      <c r="L3" s="124"/>
      <c r="M3" s="121"/>
      <c r="N3" s="124"/>
      <c r="O3" s="124"/>
      <c r="P3" s="124"/>
      <c r="Q3" s="125"/>
      <c r="R3" s="15"/>
      <c r="S3" s="16"/>
      <c r="T3" s="16"/>
      <c r="U3" s="16"/>
      <c r="V3" s="16"/>
      <c r="W3" s="14"/>
    </row>
    <row r="4" spans="1:23" s="70" customFormat="1" ht="36.6" customHeight="1">
      <c r="A4" s="76"/>
      <c r="B4" s="77"/>
      <c r="C4" s="116" t="s">
        <v>45</v>
      </c>
      <c r="D4" s="78" t="s">
        <v>7</v>
      </c>
      <c r="E4" s="78" t="s">
        <v>9</v>
      </c>
      <c r="F4" s="78" t="s">
        <v>8</v>
      </c>
      <c r="G4" s="78" t="s">
        <v>8</v>
      </c>
      <c r="H4" s="78" t="s">
        <v>10</v>
      </c>
      <c r="I4" s="78" t="s">
        <v>11</v>
      </c>
      <c r="J4" s="78" t="s">
        <v>12</v>
      </c>
      <c r="K4" s="118" t="s">
        <v>46</v>
      </c>
      <c r="L4" s="79" t="s">
        <v>53</v>
      </c>
      <c r="M4" s="79" t="s">
        <v>54</v>
      </c>
      <c r="N4" s="80" t="s">
        <v>55</v>
      </c>
      <c r="O4" s="81" t="s">
        <v>47</v>
      </c>
      <c r="P4" s="82" t="s">
        <v>16</v>
      </c>
      <c r="Q4" s="83" t="s">
        <v>13</v>
      </c>
      <c r="R4" s="84" t="s">
        <v>14</v>
      </c>
      <c r="S4" s="82" t="s">
        <v>15</v>
      </c>
      <c r="T4" s="82" t="s">
        <v>16</v>
      </c>
      <c r="U4" s="82" t="s">
        <v>16</v>
      </c>
      <c r="V4" s="82"/>
      <c r="W4" s="81"/>
    </row>
    <row r="5" spans="1:23" s="70" customFormat="1" ht="22.2" customHeight="1" thickBot="1">
      <c r="A5" s="85" t="s">
        <v>17</v>
      </c>
      <c r="B5" s="86" t="s">
        <v>18</v>
      </c>
      <c r="C5" s="117"/>
      <c r="D5" s="86" t="s">
        <v>19</v>
      </c>
      <c r="E5" s="86" t="s">
        <v>20</v>
      </c>
      <c r="F5" s="86">
        <v>10.6</v>
      </c>
      <c r="G5" s="99" t="str">
        <f>CONCATENATE("(Cu ",$B$3,")")</f>
        <v>(Cu )</v>
      </c>
      <c r="H5" s="86">
        <v>1</v>
      </c>
      <c r="I5" s="86" t="s">
        <v>21</v>
      </c>
      <c r="J5" s="86" t="s">
        <v>22</v>
      </c>
      <c r="K5" s="119"/>
      <c r="L5" s="87"/>
      <c r="M5" s="87"/>
      <c r="N5" s="88" t="s">
        <v>56</v>
      </c>
      <c r="O5" s="89" t="s">
        <v>48</v>
      </c>
      <c r="P5" s="90" t="s">
        <v>49</v>
      </c>
      <c r="Q5" s="91" t="s">
        <v>23</v>
      </c>
      <c r="R5" s="85" t="s">
        <v>24</v>
      </c>
      <c r="S5" s="92" t="s">
        <v>24</v>
      </c>
      <c r="T5" s="92" t="s">
        <v>25</v>
      </c>
      <c r="U5" s="92" t="s">
        <v>26</v>
      </c>
      <c r="V5" s="92" t="s">
        <v>27</v>
      </c>
      <c r="W5" s="93" t="s">
        <v>28</v>
      </c>
    </row>
    <row r="6" spans="1:23">
      <c r="A6" s="24">
        <v>1</v>
      </c>
      <c r="B6" s="25"/>
      <c r="C6" s="26"/>
      <c r="D6" s="27"/>
      <c r="E6" s="28"/>
      <c r="F6" s="29"/>
      <c r="G6" s="30" t="str">
        <f>IF(F6=0,"",F6+($B$3-$F$5)*E6)</f>
        <v/>
      </c>
      <c r="H6" s="29" t="str">
        <f>IF($H$5=0,"",IF(F6=0,"",ROUND(G6/$H$5,2)))</f>
        <v/>
      </c>
      <c r="I6" s="29" t="str">
        <f>IF(F6=0,"",H6*B6)</f>
        <v/>
      </c>
      <c r="J6" s="30"/>
      <c r="K6" s="31"/>
      <c r="L6" s="75"/>
      <c r="M6" s="94"/>
      <c r="N6" s="98"/>
      <c r="O6" s="32"/>
      <c r="P6" s="71"/>
      <c r="Q6" s="33"/>
      <c r="R6" s="9"/>
      <c r="S6" s="10"/>
      <c r="T6" s="10"/>
      <c r="U6" s="10"/>
      <c r="V6" s="10"/>
      <c r="W6" s="2"/>
    </row>
    <row r="7" spans="1:23">
      <c r="A7" s="34">
        <v>2</v>
      </c>
      <c r="B7" s="35"/>
      <c r="C7" s="36"/>
      <c r="D7" s="37"/>
      <c r="E7" s="38"/>
      <c r="F7" s="39"/>
      <c r="G7" s="40" t="str">
        <f t="shared" ref="G7:G41" si="0">IF(F7=0,"",F7+($B$3-$F$5)*E7)</f>
        <v/>
      </c>
      <c r="H7" s="39" t="str">
        <f t="shared" ref="H7:H41" si="1">IF($H$5=0,"",IF(F7=0,"",ROUND(G7/$H$5,2)))</f>
        <v/>
      </c>
      <c r="I7" s="39" t="str">
        <f t="shared" ref="I7:I41" si="2">IF(F7=0,"",H7*B7)</f>
        <v/>
      </c>
      <c r="J7" s="40"/>
      <c r="K7" s="41"/>
      <c r="L7" s="72"/>
      <c r="M7" s="95"/>
      <c r="N7" s="95"/>
      <c r="O7" s="42"/>
      <c r="P7" s="72"/>
      <c r="Q7" s="43"/>
      <c r="R7" s="15"/>
      <c r="S7" s="16"/>
      <c r="T7" s="16"/>
      <c r="U7" s="16"/>
      <c r="V7" s="16"/>
      <c r="W7" s="14"/>
    </row>
    <row r="8" spans="1:23">
      <c r="A8" s="34">
        <v>3</v>
      </c>
      <c r="B8" s="35"/>
      <c r="C8" s="44"/>
      <c r="D8" s="37"/>
      <c r="E8" s="38"/>
      <c r="F8" s="39"/>
      <c r="G8" s="40" t="str">
        <f t="shared" si="0"/>
        <v/>
      </c>
      <c r="H8" s="39" t="str">
        <f t="shared" si="1"/>
        <v/>
      </c>
      <c r="I8" s="39" t="str">
        <f t="shared" si="2"/>
        <v/>
      </c>
      <c r="J8" s="40"/>
      <c r="K8" s="41"/>
      <c r="L8" s="72"/>
      <c r="M8" s="95"/>
      <c r="N8" s="95"/>
      <c r="O8" s="42"/>
      <c r="P8" s="72"/>
      <c r="Q8" s="43"/>
      <c r="R8" s="15"/>
      <c r="S8" s="16"/>
      <c r="T8" s="16"/>
      <c r="U8" s="16"/>
      <c r="V8" s="16"/>
      <c r="W8" s="14"/>
    </row>
    <row r="9" spans="1:23" ht="15">
      <c r="A9" s="34">
        <v>4</v>
      </c>
      <c r="B9" s="35"/>
      <c r="C9" s="36"/>
      <c r="D9" s="37"/>
      <c r="E9" s="38"/>
      <c r="F9" s="39"/>
      <c r="G9" s="40" t="str">
        <f t="shared" si="0"/>
        <v/>
      </c>
      <c r="H9" s="39" t="str">
        <f t="shared" si="1"/>
        <v/>
      </c>
      <c r="I9" s="39" t="str">
        <f t="shared" si="2"/>
        <v/>
      </c>
      <c r="J9" s="40"/>
      <c r="K9" s="41"/>
      <c r="L9" s="72"/>
      <c r="M9" s="96"/>
      <c r="N9" s="95"/>
      <c r="O9" s="42"/>
      <c r="P9" s="72"/>
      <c r="Q9" s="43"/>
      <c r="R9" s="15"/>
      <c r="S9" s="16"/>
      <c r="T9" s="16"/>
      <c r="U9" s="16"/>
      <c r="V9" s="16"/>
      <c r="W9" s="14"/>
    </row>
    <row r="10" spans="1:23">
      <c r="A10" s="34">
        <v>5</v>
      </c>
      <c r="B10" s="35"/>
      <c r="C10" s="36"/>
      <c r="D10" s="37"/>
      <c r="E10" s="38"/>
      <c r="F10" s="39"/>
      <c r="G10" s="40" t="str">
        <f t="shared" si="0"/>
        <v/>
      </c>
      <c r="H10" s="39" t="str">
        <f t="shared" si="1"/>
        <v/>
      </c>
      <c r="I10" s="39" t="str">
        <f t="shared" si="2"/>
        <v/>
      </c>
      <c r="J10" s="40"/>
      <c r="K10" s="41"/>
      <c r="L10" s="72"/>
      <c r="M10" s="95"/>
      <c r="N10" s="95"/>
      <c r="O10" s="42"/>
      <c r="P10" s="72"/>
      <c r="Q10" s="43"/>
      <c r="R10" s="15"/>
      <c r="S10" s="16"/>
      <c r="T10" s="16"/>
      <c r="U10" s="16"/>
      <c r="V10" s="16"/>
      <c r="W10" s="14"/>
    </row>
    <row r="11" spans="1:23">
      <c r="A11" s="34">
        <v>6</v>
      </c>
      <c r="B11" s="35"/>
      <c r="C11" s="36"/>
      <c r="D11" s="37"/>
      <c r="E11" s="38"/>
      <c r="F11" s="39"/>
      <c r="G11" s="40" t="str">
        <f t="shared" si="0"/>
        <v/>
      </c>
      <c r="H11" s="39" t="str">
        <f t="shared" si="1"/>
        <v/>
      </c>
      <c r="I11" s="39" t="str">
        <f t="shared" si="2"/>
        <v/>
      </c>
      <c r="J11" s="40"/>
      <c r="K11" s="41"/>
      <c r="L11" s="72"/>
      <c r="M11" s="95"/>
      <c r="N11" s="95"/>
      <c r="O11" s="42"/>
      <c r="P11" s="72"/>
      <c r="Q11" s="43"/>
      <c r="R11" s="15"/>
      <c r="S11" s="16"/>
      <c r="T11" s="16"/>
      <c r="U11" s="16"/>
      <c r="V11" s="16"/>
      <c r="W11" s="14"/>
    </row>
    <row r="12" spans="1:23">
      <c r="A12" s="34">
        <v>7</v>
      </c>
      <c r="B12" s="35"/>
      <c r="C12" s="36"/>
      <c r="D12" s="37"/>
      <c r="E12" s="38"/>
      <c r="F12" s="39"/>
      <c r="G12" s="40" t="str">
        <f t="shared" si="0"/>
        <v/>
      </c>
      <c r="H12" s="39" t="str">
        <f t="shared" si="1"/>
        <v/>
      </c>
      <c r="I12" s="39" t="str">
        <f t="shared" si="2"/>
        <v/>
      </c>
      <c r="J12" s="40"/>
      <c r="K12" s="41"/>
      <c r="L12" s="72"/>
      <c r="M12" s="95"/>
      <c r="N12" s="95"/>
      <c r="O12" s="42"/>
      <c r="P12" s="72"/>
      <c r="Q12" s="43"/>
      <c r="R12" s="15"/>
      <c r="S12" s="16"/>
      <c r="T12" s="16"/>
      <c r="U12" s="16"/>
      <c r="V12" s="16"/>
      <c r="W12" s="14"/>
    </row>
    <row r="13" spans="1:23">
      <c r="A13" s="34">
        <v>8</v>
      </c>
      <c r="B13" s="35"/>
      <c r="C13" s="36"/>
      <c r="D13" s="37"/>
      <c r="E13" s="38"/>
      <c r="F13" s="39"/>
      <c r="G13" s="40" t="str">
        <f t="shared" si="0"/>
        <v/>
      </c>
      <c r="H13" s="39" t="str">
        <f t="shared" si="1"/>
        <v/>
      </c>
      <c r="I13" s="39" t="str">
        <f t="shared" si="2"/>
        <v/>
      </c>
      <c r="J13" s="40"/>
      <c r="K13" s="41"/>
      <c r="L13" s="72"/>
      <c r="M13" s="95"/>
      <c r="N13" s="95"/>
      <c r="O13" s="42"/>
      <c r="P13" s="72"/>
      <c r="Q13" s="43"/>
      <c r="R13" s="15"/>
      <c r="S13" s="16"/>
      <c r="T13" s="16"/>
      <c r="U13" s="16"/>
      <c r="V13" s="16"/>
      <c r="W13" s="14"/>
    </row>
    <row r="14" spans="1:23">
      <c r="A14" s="34">
        <v>9</v>
      </c>
      <c r="B14" s="35"/>
      <c r="C14" s="36"/>
      <c r="D14" s="37"/>
      <c r="E14" s="38"/>
      <c r="F14" s="39"/>
      <c r="G14" s="40" t="str">
        <f t="shared" si="0"/>
        <v/>
      </c>
      <c r="H14" s="39" t="str">
        <f t="shared" si="1"/>
        <v/>
      </c>
      <c r="I14" s="39" t="str">
        <f t="shared" si="2"/>
        <v/>
      </c>
      <c r="J14" s="40"/>
      <c r="K14" s="41"/>
      <c r="L14" s="72"/>
      <c r="M14" s="95"/>
      <c r="N14" s="95"/>
      <c r="O14" s="42"/>
      <c r="P14" s="72"/>
      <c r="Q14" s="43"/>
      <c r="R14" s="15"/>
      <c r="S14" s="16"/>
      <c r="T14" s="16"/>
      <c r="U14" s="16"/>
      <c r="V14" s="16"/>
      <c r="W14" s="14"/>
    </row>
    <row r="15" spans="1:23">
      <c r="A15" s="34">
        <v>10</v>
      </c>
      <c r="B15" s="35"/>
      <c r="C15" s="36"/>
      <c r="D15" s="37"/>
      <c r="E15" s="38"/>
      <c r="F15" s="39"/>
      <c r="G15" s="40" t="str">
        <f t="shared" si="0"/>
        <v/>
      </c>
      <c r="H15" s="39" t="str">
        <f t="shared" si="1"/>
        <v/>
      </c>
      <c r="I15" s="39" t="str">
        <f t="shared" si="2"/>
        <v/>
      </c>
      <c r="J15" s="40"/>
      <c r="K15" s="41"/>
      <c r="L15" s="72"/>
      <c r="M15" s="95"/>
      <c r="N15" s="95"/>
      <c r="O15" s="42"/>
      <c r="P15" s="72"/>
      <c r="Q15" s="43"/>
      <c r="R15" s="15"/>
      <c r="S15" s="16"/>
      <c r="T15" s="16"/>
      <c r="U15" s="16"/>
      <c r="V15" s="16"/>
      <c r="W15" s="14"/>
    </row>
    <row r="16" spans="1:23">
      <c r="A16" s="34">
        <v>11</v>
      </c>
      <c r="B16" s="35"/>
      <c r="C16" s="36"/>
      <c r="D16" s="37"/>
      <c r="E16" s="38"/>
      <c r="F16" s="39"/>
      <c r="G16" s="40" t="str">
        <f t="shared" si="0"/>
        <v/>
      </c>
      <c r="H16" s="39" t="str">
        <f t="shared" si="1"/>
        <v/>
      </c>
      <c r="I16" s="39" t="str">
        <f t="shared" si="2"/>
        <v/>
      </c>
      <c r="J16" s="40"/>
      <c r="K16" s="41"/>
      <c r="L16" s="72"/>
      <c r="M16" s="95"/>
      <c r="N16" s="95"/>
      <c r="O16" s="42"/>
      <c r="P16" s="72"/>
      <c r="Q16" s="43"/>
      <c r="R16" s="15"/>
      <c r="S16" s="16"/>
      <c r="T16" s="16"/>
      <c r="U16" s="16"/>
      <c r="V16" s="16"/>
      <c r="W16" s="14"/>
    </row>
    <row r="17" spans="1:23">
      <c r="A17" s="34">
        <v>12</v>
      </c>
      <c r="B17" s="35"/>
      <c r="C17" s="36"/>
      <c r="D17" s="37"/>
      <c r="E17" s="38"/>
      <c r="F17" s="39"/>
      <c r="G17" s="40" t="str">
        <f t="shared" si="0"/>
        <v/>
      </c>
      <c r="H17" s="39" t="str">
        <f t="shared" si="1"/>
        <v/>
      </c>
      <c r="I17" s="39" t="str">
        <f t="shared" si="2"/>
        <v/>
      </c>
      <c r="J17" s="40"/>
      <c r="K17" s="41"/>
      <c r="L17" s="72"/>
      <c r="M17" s="95"/>
      <c r="N17" s="95"/>
      <c r="O17" s="42"/>
      <c r="P17" s="72"/>
      <c r="Q17" s="43"/>
      <c r="R17" s="15"/>
      <c r="S17" s="16"/>
      <c r="T17" s="16"/>
      <c r="U17" s="16"/>
      <c r="V17" s="16"/>
      <c r="W17" s="14"/>
    </row>
    <row r="18" spans="1:23">
      <c r="A18" s="34">
        <v>13</v>
      </c>
      <c r="B18" s="35"/>
      <c r="C18" s="36"/>
      <c r="D18" s="37"/>
      <c r="E18" s="38"/>
      <c r="F18" s="39"/>
      <c r="G18" s="40" t="str">
        <f t="shared" si="0"/>
        <v/>
      </c>
      <c r="H18" s="39" t="str">
        <f t="shared" si="1"/>
        <v/>
      </c>
      <c r="I18" s="39" t="str">
        <f t="shared" si="2"/>
        <v/>
      </c>
      <c r="J18" s="40"/>
      <c r="K18" s="41"/>
      <c r="L18" s="72"/>
      <c r="M18" s="95"/>
      <c r="N18" s="95"/>
      <c r="O18" s="42"/>
      <c r="P18" s="72"/>
      <c r="Q18" s="43"/>
      <c r="R18" s="15"/>
      <c r="S18" s="16"/>
      <c r="T18" s="16"/>
      <c r="U18" s="16"/>
      <c r="V18" s="16"/>
      <c r="W18" s="14"/>
    </row>
    <row r="19" spans="1:23">
      <c r="A19" s="34">
        <v>14</v>
      </c>
      <c r="B19" s="35"/>
      <c r="C19" s="36"/>
      <c r="D19" s="37"/>
      <c r="E19" s="38"/>
      <c r="F19" s="39"/>
      <c r="G19" s="40" t="str">
        <f t="shared" si="0"/>
        <v/>
      </c>
      <c r="H19" s="39" t="str">
        <f t="shared" si="1"/>
        <v/>
      </c>
      <c r="I19" s="39" t="str">
        <f t="shared" si="2"/>
        <v/>
      </c>
      <c r="J19" s="40"/>
      <c r="K19" s="41"/>
      <c r="L19" s="72"/>
      <c r="M19" s="95"/>
      <c r="N19" s="95"/>
      <c r="O19" s="42"/>
      <c r="P19" s="72"/>
      <c r="Q19" s="43"/>
      <c r="R19" s="15"/>
      <c r="S19" s="16"/>
      <c r="T19" s="16"/>
      <c r="U19" s="16"/>
      <c r="V19" s="16"/>
      <c r="W19" s="14"/>
    </row>
    <row r="20" spans="1:23">
      <c r="A20" s="34">
        <v>15</v>
      </c>
      <c r="B20" s="35"/>
      <c r="C20" s="36"/>
      <c r="D20" s="37"/>
      <c r="E20" s="38"/>
      <c r="F20" s="39"/>
      <c r="G20" s="40" t="str">
        <f t="shared" si="0"/>
        <v/>
      </c>
      <c r="H20" s="39" t="str">
        <f t="shared" si="1"/>
        <v/>
      </c>
      <c r="I20" s="39" t="str">
        <f t="shared" si="2"/>
        <v/>
      </c>
      <c r="J20" s="40"/>
      <c r="K20" s="41"/>
      <c r="L20" s="72"/>
      <c r="M20" s="95"/>
      <c r="N20" s="95"/>
      <c r="O20" s="42"/>
      <c r="P20" s="72"/>
      <c r="Q20" s="43"/>
      <c r="R20" s="15"/>
      <c r="S20" s="16"/>
      <c r="T20" s="16"/>
      <c r="U20" s="16"/>
      <c r="V20" s="16"/>
      <c r="W20" s="14"/>
    </row>
    <row r="21" spans="1:23">
      <c r="A21" s="34">
        <v>16</v>
      </c>
      <c r="B21" s="35"/>
      <c r="C21" s="36"/>
      <c r="D21" s="37"/>
      <c r="E21" s="38"/>
      <c r="F21" s="39"/>
      <c r="G21" s="40" t="str">
        <f t="shared" si="0"/>
        <v/>
      </c>
      <c r="H21" s="39" t="str">
        <f t="shared" si="1"/>
        <v/>
      </c>
      <c r="I21" s="39" t="str">
        <f t="shared" si="2"/>
        <v/>
      </c>
      <c r="J21" s="40"/>
      <c r="K21" s="41"/>
      <c r="L21" s="72"/>
      <c r="M21" s="95"/>
      <c r="N21" s="95"/>
      <c r="O21" s="42"/>
      <c r="P21" s="72"/>
      <c r="Q21" s="43"/>
      <c r="R21" s="15"/>
      <c r="S21" s="16"/>
      <c r="T21" s="16"/>
      <c r="U21" s="16"/>
      <c r="V21" s="16"/>
      <c r="W21" s="14"/>
    </row>
    <row r="22" spans="1:23">
      <c r="A22" s="34">
        <v>17</v>
      </c>
      <c r="B22" s="35"/>
      <c r="C22" s="36"/>
      <c r="D22" s="37"/>
      <c r="E22" s="38"/>
      <c r="F22" s="39"/>
      <c r="G22" s="40" t="str">
        <f t="shared" si="0"/>
        <v/>
      </c>
      <c r="H22" s="39" t="str">
        <f t="shared" si="1"/>
        <v/>
      </c>
      <c r="I22" s="39" t="str">
        <f t="shared" si="2"/>
        <v/>
      </c>
      <c r="J22" s="40"/>
      <c r="K22" s="41"/>
      <c r="L22" s="72"/>
      <c r="M22" s="95"/>
      <c r="N22" s="95"/>
      <c r="O22" s="42"/>
      <c r="P22" s="72"/>
      <c r="Q22" s="43"/>
      <c r="R22" s="15"/>
      <c r="S22" s="16"/>
      <c r="T22" s="16"/>
      <c r="U22" s="16"/>
      <c r="V22" s="16"/>
      <c r="W22" s="14"/>
    </row>
    <row r="23" spans="1:23">
      <c r="A23" s="34">
        <v>18</v>
      </c>
      <c r="B23" s="35"/>
      <c r="C23" s="36"/>
      <c r="D23" s="37"/>
      <c r="E23" s="38"/>
      <c r="F23" s="39"/>
      <c r="G23" s="40" t="str">
        <f t="shared" si="0"/>
        <v/>
      </c>
      <c r="H23" s="39" t="str">
        <f t="shared" si="1"/>
        <v/>
      </c>
      <c r="I23" s="39" t="str">
        <f t="shared" si="2"/>
        <v/>
      </c>
      <c r="J23" s="40"/>
      <c r="K23" s="41"/>
      <c r="L23" s="72"/>
      <c r="M23" s="95"/>
      <c r="N23" s="95"/>
      <c r="O23" s="42"/>
      <c r="P23" s="72"/>
      <c r="Q23" s="43"/>
      <c r="R23" s="15"/>
      <c r="S23" s="16"/>
      <c r="T23" s="16"/>
      <c r="U23" s="16"/>
      <c r="V23" s="16"/>
      <c r="W23" s="14"/>
    </row>
    <row r="24" spans="1:23">
      <c r="A24" s="34">
        <v>19</v>
      </c>
      <c r="B24" s="35"/>
      <c r="C24" s="36"/>
      <c r="D24" s="37"/>
      <c r="E24" s="38"/>
      <c r="F24" s="39"/>
      <c r="G24" s="40" t="str">
        <f t="shared" si="0"/>
        <v/>
      </c>
      <c r="H24" s="39" t="str">
        <f t="shared" si="1"/>
        <v/>
      </c>
      <c r="I24" s="39" t="str">
        <f t="shared" si="2"/>
        <v/>
      </c>
      <c r="J24" s="40"/>
      <c r="K24" s="41"/>
      <c r="L24" s="72"/>
      <c r="M24" s="95"/>
      <c r="N24" s="95"/>
      <c r="O24" s="42"/>
      <c r="P24" s="72"/>
      <c r="Q24" s="43"/>
      <c r="R24" s="15"/>
      <c r="S24" s="16"/>
      <c r="T24" s="16"/>
      <c r="U24" s="16"/>
      <c r="V24" s="16"/>
      <c r="W24" s="14"/>
    </row>
    <row r="25" spans="1:23">
      <c r="A25" s="34">
        <v>20</v>
      </c>
      <c r="B25" s="35"/>
      <c r="C25" s="36"/>
      <c r="D25" s="37"/>
      <c r="E25" s="38"/>
      <c r="F25" s="39"/>
      <c r="G25" s="40" t="str">
        <f t="shared" si="0"/>
        <v/>
      </c>
      <c r="H25" s="39" t="str">
        <f t="shared" si="1"/>
        <v/>
      </c>
      <c r="I25" s="39" t="str">
        <f t="shared" si="2"/>
        <v/>
      </c>
      <c r="J25" s="40"/>
      <c r="K25" s="41"/>
      <c r="L25" s="72"/>
      <c r="M25" s="95"/>
      <c r="N25" s="95"/>
      <c r="O25" s="42"/>
      <c r="P25" s="72"/>
      <c r="Q25" s="43"/>
      <c r="R25" s="15"/>
      <c r="S25" s="16"/>
      <c r="T25" s="16"/>
      <c r="U25" s="16"/>
      <c r="V25" s="16"/>
      <c r="W25" s="14"/>
    </row>
    <row r="26" spans="1:23">
      <c r="A26" s="34">
        <v>21</v>
      </c>
      <c r="B26" s="35"/>
      <c r="C26" s="36"/>
      <c r="D26" s="37"/>
      <c r="E26" s="38"/>
      <c r="F26" s="39"/>
      <c r="G26" s="40" t="str">
        <f t="shared" si="0"/>
        <v/>
      </c>
      <c r="H26" s="39" t="str">
        <f t="shared" si="1"/>
        <v/>
      </c>
      <c r="I26" s="39" t="str">
        <f t="shared" si="2"/>
        <v/>
      </c>
      <c r="J26" s="40"/>
      <c r="K26" s="41"/>
      <c r="L26" s="72"/>
      <c r="M26" s="95"/>
      <c r="N26" s="95"/>
      <c r="O26" s="42"/>
      <c r="P26" s="72"/>
      <c r="Q26" s="43"/>
      <c r="R26" s="15"/>
      <c r="S26" s="16"/>
      <c r="T26" s="16"/>
      <c r="U26" s="16"/>
      <c r="V26" s="16"/>
      <c r="W26" s="14"/>
    </row>
    <row r="27" spans="1:23">
      <c r="A27" s="34">
        <v>22</v>
      </c>
      <c r="B27" s="35"/>
      <c r="C27" s="36"/>
      <c r="D27" s="37"/>
      <c r="E27" s="38"/>
      <c r="F27" s="39"/>
      <c r="G27" s="40" t="str">
        <f t="shared" si="0"/>
        <v/>
      </c>
      <c r="H27" s="39" t="str">
        <f t="shared" si="1"/>
        <v/>
      </c>
      <c r="I27" s="39" t="str">
        <f t="shared" si="2"/>
        <v/>
      </c>
      <c r="J27" s="40"/>
      <c r="K27" s="41"/>
      <c r="L27" s="72"/>
      <c r="M27" s="95"/>
      <c r="N27" s="95"/>
      <c r="O27" s="42"/>
      <c r="P27" s="72"/>
      <c r="Q27" s="43"/>
      <c r="R27" s="15"/>
      <c r="S27" s="16"/>
      <c r="T27" s="16"/>
      <c r="U27" s="16"/>
      <c r="V27" s="16"/>
      <c r="W27" s="14"/>
    </row>
    <row r="28" spans="1:23">
      <c r="A28" s="34">
        <v>23</v>
      </c>
      <c r="B28" s="35"/>
      <c r="C28" s="36"/>
      <c r="D28" s="37"/>
      <c r="E28" s="38"/>
      <c r="F28" s="39"/>
      <c r="G28" s="40" t="str">
        <f t="shared" si="0"/>
        <v/>
      </c>
      <c r="H28" s="39" t="str">
        <f t="shared" si="1"/>
        <v/>
      </c>
      <c r="I28" s="39" t="str">
        <f t="shared" si="2"/>
        <v/>
      </c>
      <c r="J28" s="40"/>
      <c r="K28" s="41"/>
      <c r="L28" s="72"/>
      <c r="M28" s="95"/>
      <c r="N28" s="95"/>
      <c r="O28" s="42"/>
      <c r="P28" s="72"/>
      <c r="Q28" s="43"/>
      <c r="R28" s="15"/>
      <c r="S28" s="16"/>
      <c r="T28" s="16"/>
      <c r="U28" s="16"/>
      <c r="V28" s="16"/>
      <c r="W28" s="14"/>
    </row>
    <row r="29" spans="1:23">
      <c r="A29" s="34">
        <v>24</v>
      </c>
      <c r="B29" s="35"/>
      <c r="C29" s="36"/>
      <c r="D29" s="37"/>
      <c r="E29" s="38"/>
      <c r="F29" s="39"/>
      <c r="G29" s="40" t="str">
        <f t="shared" si="0"/>
        <v/>
      </c>
      <c r="H29" s="39" t="str">
        <f t="shared" si="1"/>
        <v/>
      </c>
      <c r="I29" s="39" t="str">
        <f t="shared" si="2"/>
        <v/>
      </c>
      <c r="J29" s="40"/>
      <c r="K29" s="41"/>
      <c r="L29" s="72"/>
      <c r="M29" s="95"/>
      <c r="N29" s="95"/>
      <c r="O29" s="42"/>
      <c r="P29" s="72"/>
      <c r="Q29" s="43"/>
      <c r="R29" s="15"/>
      <c r="S29" s="16"/>
      <c r="T29" s="16"/>
      <c r="U29" s="16"/>
      <c r="V29" s="16"/>
      <c r="W29" s="14"/>
    </row>
    <row r="30" spans="1:23">
      <c r="A30" s="34">
        <v>25</v>
      </c>
      <c r="B30" s="35"/>
      <c r="C30" s="36"/>
      <c r="D30" s="37"/>
      <c r="E30" s="38"/>
      <c r="F30" s="39"/>
      <c r="G30" s="40" t="str">
        <f t="shared" si="0"/>
        <v/>
      </c>
      <c r="H30" s="39" t="str">
        <f t="shared" si="1"/>
        <v/>
      </c>
      <c r="I30" s="39" t="str">
        <f t="shared" si="2"/>
        <v/>
      </c>
      <c r="J30" s="40"/>
      <c r="K30" s="41"/>
      <c r="L30" s="72"/>
      <c r="M30" s="95"/>
      <c r="N30" s="95"/>
      <c r="O30" s="42"/>
      <c r="P30" s="72"/>
      <c r="Q30" s="43"/>
      <c r="R30" s="15"/>
      <c r="S30" s="16"/>
      <c r="T30" s="16"/>
      <c r="U30" s="16"/>
      <c r="V30" s="16"/>
      <c r="W30" s="14"/>
    </row>
    <row r="31" spans="1:23">
      <c r="A31" s="34">
        <v>26</v>
      </c>
      <c r="B31" s="35"/>
      <c r="C31" s="36"/>
      <c r="D31" s="37"/>
      <c r="E31" s="38"/>
      <c r="F31" s="39"/>
      <c r="G31" s="40" t="str">
        <f t="shared" si="0"/>
        <v/>
      </c>
      <c r="H31" s="39" t="str">
        <f t="shared" si="1"/>
        <v/>
      </c>
      <c r="I31" s="39" t="str">
        <f t="shared" si="2"/>
        <v/>
      </c>
      <c r="J31" s="40"/>
      <c r="K31" s="41"/>
      <c r="L31" s="72"/>
      <c r="M31" s="95"/>
      <c r="N31" s="95"/>
      <c r="O31" s="42"/>
      <c r="P31" s="72"/>
      <c r="Q31" s="43"/>
      <c r="R31" s="15"/>
      <c r="S31" s="16"/>
      <c r="T31" s="16"/>
      <c r="U31" s="16"/>
      <c r="V31" s="16"/>
      <c r="W31" s="14"/>
    </row>
    <row r="32" spans="1:23">
      <c r="A32" s="34">
        <v>27</v>
      </c>
      <c r="B32" s="35"/>
      <c r="C32" s="36"/>
      <c r="D32" s="37"/>
      <c r="E32" s="38"/>
      <c r="F32" s="39"/>
      <c r="G32" s="40" t="str">
        <f t="shared" si="0"/>
        <v/>
      </c>
      <c r="H32" s="39" t="str">
        <f t="shared" si="1"/>
        <v/>
      </c>
      <c r="I32" s="39" t="str">
        <f t="shared" si="2"/>
        <v/>
      </c>
      <c r="J32" s="40"/>
      <c r="K32" s="41"/>
      <c r="L32" s="72"/>
      <c r="M32" s="95"/>
      <c r="N32" s="95"/>
      <c r="O32" s="42"/>
      <c r="P32" s="72"/>
      <c r="Q32" s="43"/>
      <c r="R32" s="15"/>
      <c r="S32" s="16"/>
      <c r="T32" s="16"/>
      <c r="U32" s="16"/>
      <c r="V32" s="16"/>
      <c r="W32" s="14"/>
    </row>
    <row r="33" spans="1:23">
      <c r="A33" s="34">
        <v>28</v>
      </c>
      <c r="B33" s="35"/>
      <c r="C33" s="36"/>
      <c r="D33" s="37"/>
      <c r="E33" s="38"/>
      <c r="F33" s="39"/>
      <c r="G33" s="40" t="str">
        <f t="shared" si="0"/>
        <v/>
      </c>
      <c r="H33" s="39" t="str">
        <f t="shared" si="1"/>
        <v/>
      </c>
      <c r="I33" s="39" t="str">
        <f t="shared" si="2"/>
        <v/>
      </c>
      <c r="J33" s="40"/>
      <c r="K33" s="41"/>
      <c r="L33" s="72"/>
      <c r="M33" s="95"/>
      <c r="N33" s="95"/>
      <c r="O33" s="42"/>
      <c r="P33" s="72"/>
      <c r="Q33" s="43"/>
      <c r="R33" s="15"/>
      <c r="S33" s="16"/>
      <c r="T33" s="16"/>
      <c r="U33" s="16"/>
      <c r="V33" s="16"/>
      <c r="W33" s="14"/>
    </row>
    <row r="34" spans="1:23">
      <c r="A34" s="34">
        <v>29</v>
      </c>
      <c r="B34" s="35"/>
      <c r="C34" s="36"/>
      <c r="D34" s="37"/>
      <c r="E34" s="38"/>
      <c r="F34" s="39"/>
      <c r="G34" s="40" t="str">
        <f t="shared" si="0"/>
        <v/>
      </c>
      <c r="H34" s="39" t="str">
        <f t="shared" si="1"/>
        <v/>
      </c>
      <c r="I34" s="39" t="str">
        <f t="shared" si="2"/>
        <v/>
      </c>
      <c r="J34" s="40"/>
      <c r="K34" s="41"/>
      <c r="L34" s="72"/>
      <c r="M34" s="95"/>
      <c r="N34" s="95"/>
      <c r="O34" s="42"/>
      <c r="P34" s="72"/>
      <c r="Q34" s="43"/>
      <c r="R34" s="15"/>
      <c r="S34" s="16"/>
      <c r="T34" s="16"/>
      <c r="U34" s="16"/>
      <c r="V34" s="16"/>
      <c r="W34" s="14"/>
    </row>
    <row r="35" spans="1:23">
      <c r="A35" s="34">
        <v>30</v>
      </c>
      <c r="B35" s="35"/>
      <c r="C35" s="36"/>
      <c r="D35" s="37"/>
      <c r="E35" s="38"/>
      <c r="F35" s="39"/>
      <c r="G35" s="40" t="str">
        <f t="shared" si="0"/>
        <v/>
      </c>
      <c r="H35" s="39" t="str">
        <f t="shared" si="1"/>
        <v/>
      </c>
      <c r="I35" s="39" t="str">
        <f t="shared" si="2"/>
        <v/>
      </c>
      <c r="J35" s="40"/>
      <c r="K35" s="41"/>
      <c r="L35" s="72"/>
      <c r="M35" s="95"/>
      <c r="N35" s="95"/>
      <c r="O35" s="42"/>
      <c r="P35" s="72"/>
      <c r="Q35" s="43"/>
      <c r="R35" s="15"/>
      <c r="S35" s="16"/>
      <c r="T35" s="16"/>
      <c r="U35" s="16"/>
      <c r="V35" s="16"/>
      <c r="W35" s="14"/>
    </row>
    <row r="36" spans="1:23">
      <c r="A36" s="34">
        <v>31</v>
      </c>
      <c r="B36" s="35"/>
      <c r="C36" s="36"/>
      <c r="D36" s="37"/>
      <c r="E36" s="38"/>
      <c r="F36" s="39"/>
      <c r="G36" s="40" t="str">
        <f t="shared" si="0"/>
        <v/>
      </c>
      <c r="H36" s="39" t="str">
        <f t="shared" si="1"/>
        <v/>
      </c>
      <c r="I36" s="39" t="str">
        <f t="shared" si="2"/>
        <v/>
      </c>
      <c r="J36" s="40"/>
      <c r="K36" s="41"/>
      <c r="L36" s="72"/>
      <c r="M36" s="95"/>
      <c r="N36" s="95"/>
      <c r="O36" s="42"/>
      <c r="P36" s="72"/>
      <c r="Q36" s="43"/>
      <c r="R36" s="15"/>
      <c r="S36" s="16"/>
      <c r="T36" s="16"/>
      <c r="U36" s="16"/>
      <c r="V36" s="16"/>
      <c r="W36" s="14"/>
    </row>
    <row r="37" spans="1:23">
      <c r="A37" s="34">
        <v>32</v>
      </c>
      <c r="B37" s="35"/>
      <c r="C37" s="36"/>
      <c r="D37" s="37"/>
      <c r="E37" s="38"/>
      <c r="F37" s="39"/>
      <c r="G37" s="40" t="str">
        <f t="shared" si="0"/>
        <v/>
      </c>
      <c r="H37" s="39" t="str">
        <f t="shared" si="1"/>
        <v/>
      </c>
      <c r="I37" s="39" t="str">
        <f t="shared" si="2"/>
        <v/>
      </c>
      <c r="J37" s="40"/>
      <c r="K37" s="41"/>
      <c r="L37" s="72"/>
      <c r="M37" s="95"/>
      <c r="N37" s="95"/>
      <c r="O37" s="42"/>
      <c r="P37" s="72"/>
      <c r="Q37" s="43"/>
      <c r="R37" s="15"/>
      <c r="S37" s="16"/>
      <c r="T37" s="16"/>
      <c r="U37" s="16"/>
      <c r="V37" s="16"/>
      <c r="W37" s="14"/>
    </row>
    <row r="38" spans="1:23">
      <c r="A38" s="34">
        <v>33</v>
      </c>
      <c r="B38" s="35"/>
      <c r="C38" s="36"/>
      <c r="D38" s="37"/>
      <c r="E38" s="38"/>
      <c r="F38" s="39"/>
      <c r="G38" s="40" t="str">
        <f t="shared" si="0"/>
        <v/>
      </c>
      <c r="H38" s="39" t="str">
        <f t="shared" si="1"/>
        <v/>
      </c>
      <c r="I38" s="39" t="str">
        <f t="shared" si="2"/>
        <v/>
      </c>
      <c r="J38" s="40"/>
      <c r="K38" s="41"/>
      <c r="L38" s="72"/>
      <c r="M38" s="95"/>
      <c r="N38" s="95"/>
      <c r="O38" s="42"/>
      <c r="P38" s="72"/>
      <c r="Q38" s="43"/>
      <c r="R38" s="15"/>
      <c r="S38" s="16"/>
      <c r="T38" s="16"/>
      <c r="U38" s="16"/>
      <c r="V38" s="16"/>
      <c r="W38" s="14"/>
    </row>
    <row r="39" spans="1:23">
      <c r="A39" s="34">
        <v>34</v>
      </c>
      <c r="B39" s="35"/>
      <c r="C39" s="36"/>
      <c r="D39" s="37"/>
      <c r="E39" s="38"/>
      <c r="F39" s="39"/>
      <c r="G39" s="40" t="str">
        <f t="shared" si="0"/>
        <v/>
      </c>
      <c r="H39" s="39" t="str">
        <f t="shared" si="1"/>
        <v/>
      </c>
      <c r="I39" s="39" t="str">
        <f t="shared" si="2"/>
        <v/>
      </c>
      <c r="J39" s="40"/>
      <c r="K39" s="41"/>
      <c r="L39" s="72"/>
      <c r="M39" s="95"/>
      <c r="N39" s="95"/>
      <c r="O39" s="42"/>
      <c r="P39" s="72"/>
      <c r="Q39" s="43"/>
      <c r="R39" s="15"/>
      <c r="S39" s="16"/>
      <c r="T39" s="16"/>
      <c r="U39" s="16"/>
      <c r="V39" s="16"/>
      <c r="W39" s="14"/>
    </row>
    <row r="40" spans="1:23">
      <c r="A40" s="34">
        <v>35</v>
      </c>
      <c r="B40" s="35"/>
      <c r="C40" s="36"/>
      <c r="D40" s="37"/>
      <c r="E40" s="38"/>
      <c r="F40" s="39"/>
      <c r="G40" s="40" t="str">
        <f t="shared" si="0"/>
        <v/>
      </c>
      <c r="H40" s="39" t="str">
        <f t="shared" si="1"/>
        <v/>
      </c>
      <c r="I40" s="39" t="str">
        <f t="shared" si="2"/>
        <v/>
      </c>
      <c r="J40" s="40"/>
      <c r="K40" s="41"/>
      <c r="L40" s="72"/>
      <c r="M40" s="95"/>
      <c r="N40" s="95"/>
      <c r="O40" s="42"/>
      <c r="P40" s="72"/>
      <c r="Q40" s="43"/>
      <c r="R40" s="15"/>
      <c r="S40" s="16"/>
      <c r="T40" s="16"/>
      <c r="U40" s="16"/>
      <c r="V40" s="16"/>
      <c r="W40" s="14"/>
    </row>
    <row r="41" spans="1:23" ht="15" thickBot="1">
      <c r="A41" s="45">
        <v>36</v>
      </c>
      <c r="B41" s="46"/>
      <c r="C41" s="47"/>
      <c r="D41" s="48"/>
      <c r="E41" s="49"/>
      <c r="F41" s="50"/>
      <c r="G41" s="51" t="str">
        <f t="shared" si="0"/>
        <v/>
      </c>
      <c r="H41" s="50" t="str">
        <f t="shared" si="1"/>
        <v/>
      </c>
      <c r="I41" s="50" t="str">
        <f t="shared" si="2"/>
        <v/>
      </c>
      <c r="J41" s="51"/>
      <c r="K41" s="52"/>
      <c r="L41" s="73"/>
      <c r="M41" s="97"/>
      <c r="N41" s="97"/>
      <c r="O41" s="53"/>
      <c r="P41" s="73"/>
      <c r="Q41" s="54"/>
      <c r="R41" s="20"/>
      <c r="S41" s="22"/>
      <c r="T41" s="22"/>
      <c r="U41" s="22"/>
      <c r="V41" s="22"/>
      <c r="W41" s="23"/>
    </row>
    <row r="42" spans="1:23">
      <c r="A42" s="100" t="s">
        <v>29</v>
      </c>
      <c r="B42" s="101"/>
      <c r="C42" s="16"/>
      <c r="D42" s="14"/>
      <c r="E42" s="12" t="s">
        <v>30</v>
      </c>
      <c r="H42" s="16"/>
      <c r="I42" s="113" t="s">
        <v>32</v>
      </c>
      <c r="J42" s="115"/>
      <c r="K42" s="55" t="s">
        <v>33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spans="1:23">
      <c r="A43" s="100" t="s">
        <v>34</v>
      </c>
      <c r="B43" s="101"/>
      <c r="C43" s="16"/>
      <c r="D43" s="14"/>
      <c r="E43" s="15" t="s">
        <v>51</v>
      </c>
      <c r="H43" s="56">
        <f>SUM(V6:V41)</f>
        <v>0</v>
      </c>
      <c r="I43" s="15"/>
      <c r="J43" s="16"/>
      <c r="K43" s="55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spans="1:23">
      <c r="A44" s="100" t="s">
        <v>36</v>
      </c>
      <c r="B44" s="101"/>
      <c r="C44" s="16"/>
      <c r="D44" s="14"/>
      <c r="E44" s="15" t="s">
        <v>50</v>
      </c>
      <c r="F44" s="16"/>
      <c r="G44" s="16"/>
      <c r="H44" s="57">
        <f>SUM(T6:T41)</f>
        <v>0</v>
      </c>
      <c r="I44" s="15"/>
      <c r="J44" s="16"/>
      <c r="K44" s="58">
        <f>SUM(I6:I41)</f>
        <v>0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spans="1:23" ht="26.4">
      <c r="A45" s="12" t="s">
        <v>37</v>
      </c>
      <c r="B45" s="59"/>
      <c r="C45" s="16"/>
      <c r="D45" s="14"/>
      <c r="E45" s="16" t="s">
        <v>31</v>
      </c>
      <c r="F45" s="16"/>
      <c r="G45" s="16"/>
      <c r="H45" s="57">
        <f>SUM(U6:U41)</f>
        <v>0</v>
      </c>
      <c r="I45" s="15"/>
      <c r="J45" s="16"/>
      <c r="K45" s="55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1:23" ht="15" thickBot="1">
      <c r="A46" s="100"/>
      <c r="B46" s="101"/>
      <c r="C46" s="16"/>
      <c r="D46" s="14"/>
      <c r="E46" s="22" t="s">
        <v>35</v>
      </c>
      <c r="F46" s="22"/>
      <c r="G46" s="16"/>
      <c r="H46" s="57">
        <f>SUM(W6:W41)</f>
        <v>0</v>
      </c>
      <c r="I46" s="20"/>
      <c r="J46" s="16"/>
      <c r="K46" s="21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spans="1:23" ht="14.4" customHeight="1">
      <c r="A47" s="102" t="s">
        <v>38</v>
      </c>
      <c r="B47" s="103"/>
      <c r="C47" s="103"/>
      <c r="D47" s="103"/>
      <c r="E47" s="104"/>
      <c r="F47" s="24" t="s">
        <v>39</v>
      </c>
      <c r="G47" s="24"/>
      <c r="H47" s="60"/>
      <c r="I47" s="61" t="s">
        <v>40</v>
      </c>
      <c r="J47" s="62"/>
      <c r="Q47" s="16"/>
      <c r="R47" s="16"/>
      <c r="S47" s="16"/>
      <c r="T47" s="16"/>
      <c r="U47" s="16"/>
      <c r="V47" s="16"/>
      <c r="W47" s="16"/>
    </row>
    <row r="48" spans="1:23">
      <c r="A48" s="105"/>
      <c r="B48" s="106"/>
      <c r="C48" s="106"/>
      <c r="D48" s="106"/>
      <c r="E48" s="107"/>
      <c r="F48" s="34" t="s">
        <v>41</v>
      </c>
      <c r="G48" s="34"/>
      <c r="H48" s="63"/>
      <c r="I48" s="64" t="s">
        <v>42</v>
      </c>
      <c r="J48" s="65"/>
      <c r="Q48" s="16"/>
      <c r="R48" s="16"/>
      <c r="S48" s="16"/>
      <c r="T48" s="16"/>
      <c r="U48" s="16"/>
      <c r="V48" s="16"/>
      <c r="W48" s="16"/>
    </row>
    <row r="49" spans="1:23" ht="26.4">
      <c r="A49" s="105"/>
      <c r="B49" s="106"/>
      <c r="C49" s="106"/>
      <c r="D49" s="106"/>
      <c r="E49" s="107"/>
      <c r="F49" s="34" t="s">
        <v>43</v>
      </c>
      <c r="G49" s="34"/>
      <c r="H49" s="63"/>
      <c r="I49" s="64"/>
      <c r="J49" s="65"/>
      <c r="Q49" s="16"/>
      <c r="R49" s="16"/>
      <c r="S49" s="16"/>
      <c r="T49" s="16"/>
      <c r="U49" s="16"/>
      <c r="V49" s="16"/>
      <c r="W49" s="16"/>
    </row>
    <row r="50" spans="1:23" ht="15" thickBot="1">
      <c r="A50" s="108"/>
      <c r="B50" s="109"/>
      <c r="C50" s="109"/>
      <c r="D50" s="109"/>
      <c r="E50" s="110"/>
      <c r="F50" s="20" t="s">
        <v>44</v>
      </c>
      <c r="G50" s="20"/>
      <c r="H50" s="66"/>
      <c r="I50" s="67"/>
      <c r="J50" s="68"/>
      <c r="Q50" s="16"/>
      <c r="R50" s="16"/>
      <c r="S50" s="16"/>
      <c r="T50" s="16"/>
      <c r="U50" s="16"/>
      <c r="V50" s="16"/>
      <c r="W50" s="69"/>
    </row>
  </sheetData>
  <mergeCells count="12">
    <mergeCell ref="J1:K1"/>
    <mergeCell ref="F2:H2"/>
    <mergeCell ref="A42:B42"/>
    <mergeCell ref="I42:J42"/>
    <mergeCell ref="C4:C5"/>
    <mergeCell ref="K4:K5"/>
    <mergeCell ref="J2:Q3"/>
    <mergeCell ref="A43:B43"/>
    <mergeCell ref="A44:B44"/>
    <mergeCell ref="A46:B46"/>
    <mergeCell ref="A47:E50"/>
    <mergeCell ref="A1:B1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Gotti</dc:creator>
  <cp:lastModifiedBy>Gregorio Grande</cp:lastModifiedBy>
  <cp:lastPrinted>2026-10-12T09:02:15Z</cp:lastPrinted>
  <dcterms:created xsi:type="dcterms:W3CDTF">2013-03-28T08:46:45Z</dcterms:created>
  <dcterms:modified xsi:type="dcterms:W3CDTF">2026-10-12T09:05:49Z</dcterms:modified>
</cp:coreProperties>
</file>